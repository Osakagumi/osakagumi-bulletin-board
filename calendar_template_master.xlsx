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HIKAWA\Downloads\files\"/>
    </mc:Choice>
  </mc:AlternateContent>
  <xr:revisionPtr revIDLastSave="0" documentId="13_ncr:1_{CCB5D2B9-0063-4404-BDE9-0CB120E73BF1}" xr6:coauthVersionLast="47" xr6:coauthVersionMax="47" xr10:uidLastSave="{00000000-0000-0000-0000-000000000000}"/>
  <bookViews>
    <workbookView xWindow="28692" yWindow="-108" windowWidth="29016" windowHeight="15696" tabRatio="897" xr2:uid="{00000000-000D-0000-FFFF-FFFF00000000}"/>
  </bookViews>
  <sheets>
    <sheet name="確定08年度109日" sheetId="1" r:id="rId1"/>
  </sheets>
  <definedNames>
    <definedName name="_xlnm.Print_Area" localSheetId="0">確定08年度109日!$A$1:$Q$93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J73" i="1"/>
  <c r="B73" i="1"/>
  <c r="J59" i="1"/>
  <c r="B59" i="1"/>
  <c r="J45" i="1"/>
  <c r="B45" i="1"/>
  <c r="J31" i="1"/>
  <c r="B31" i="1"/>
  <c r="J17" i="1"/>
  <c r="B17" i="1"/>
  <c r="P87" i="1"/>
  <c r="H87" i="1"/>
  <c r="J3" i="1"/>
  <c r="B3" i="1"/>
  <c r="P88" i="1" l="1"/>
  <c r="B89" i="1" s="1"/>
  <c r="D87" i="1"/>
  <c r="L87" i="1"/>
  <c r="L88" i="1" l="1"/>
  <c r="N91" i="1" l="1"/>
  <c r="P91" i="1" s="1"/>
  <c r="L1" i="1"/>
</calcChain>
</file>

<file path=xl/sharedStrings.xml><?xml version="1.0" encoding="utf-8"?>
<sst xmlns="http://schemas.openxmlformats.org/spreadsheetml/2006/main" count="110" uniqueCount="33">
  <si>
    <t>株式会社大坂組</t>
  </si>
  <si>
    <t>2026年（令和8年）/4月</t>
  </si>
  <si>
    <t>１０月</t>
  </si>
  <si>
    <t>日</t>
  </si>
  <si>
    <t>月</t>
  </si>
  <si>
    <t>火</t>
  </si>
  <si>
    <t>水</t>
  </si>
  <si>
    <t>木</t>
  </si>
  <si>
    <t>金</t>
  </si>
  <si>
    <t>土</t>
  </si>
  <si>
    <t>５月</t>
  </si>
  <si>
    <t>１１月</t>
  </si>
  <si>
    <t>６月</t>
  </si>
  <si>
    <t>１２月</t>
  </si>
  <si>
    <t>７月</t>
  </si>
  <si>
    <t>2027年（令和9年）/1月</t>
  </si>
  <si>
    <t>８月</t>
  </si>
  <si>
    <t>２月</t>
  </si>
  <si>
    <t>９月</t>
  </si>
  <si>
    <t>３月</t>
  </si>
  <si>
    <t>4月～9月労働日数</t>
  </si>
  <si>
    <t>4月～9月休日数</t>
  </si>
  <si>
    <t>10月～3月労働日数</t>
  </si>
  <si>
    <t>10月～3月休日数</t>
  </si>
  <si>
    <t>※4月10日　大坂組創業日（1941年4月10日創業）</t>
  </si>
  <si>
    <t>年間労働日数➡</t>
  </si>
  <si>
    <t>年間休日数➡</t>
  </si>
  <si>
    <t>※1日の所定労働時間　8時間　始業８:00～終業17：00（うち休憩1：00）　</t>
  </si>
  <si>
    <t>月平均労働日数</t>
  </si>
  <si>
    <t>※工務部の一部　毎年4～9月は　１日の所定労働時間　８時間　始業7：30～終業17：00（休憩1：30）、</t>
  </si>
  <si>
    <t>　毎年10月～3月は　1日の所定労働時間　8時間　始業7：30～終業16：30（休憩1：00）</t>
  </si>
  <si>
    <t>※運輸部の一部　1日の所定労働時間　8時間　始業7：00～終業16：00（休憩1：00）</t>
  </si>
  <si>
    <t>年 間 カ レ ン ダ ー</t>
    <rPh sb="0" eb="1">
      <t>トシ</t>
    </rPh>
    <rPh sb="2" eb="3">
      <t>アイダ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</si>
</sst>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name val="HG丸ｺﾞｼｯｸM-PRO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theme="1"/>
      <name val="HG丸ｺﾞｼｯｸM-PRO"/>
      <family val="3"/>
      <charset val="128"/>
    </font>
    <font>
      <sz val="11"/>
      <color theme="1"/>
      <name val="HG丸ｺﾞｼｯｸM-PRO"/>
      <family val="3"/>
      <charset val="128"/>
    </font>
    <font>
      <sz val="6"/>
      <color theme="1"/>
      <name val="HG丸ｺﾞｼｯｸM-PRO"/>
      <family val="3"/>
      <charset val="128"/>
    </font>
    <font>
      <sz val="9"/>
      <color theme="1"/>
      <name val="HG丸ｺﾞｼｯｸM-PRO"/>
      <family val="3"/>
      <charset val="128"/>
    </font>
    <font>
      <sz val="11"/>
      <color theme="1"/>
      <name val="ＭＳ Ｐゴシック"/>
      <family val="3"/>
      <charset val="128"/>
    </font>
    <font>
      <sz val="27"/>
      <color theme="1"/>
      <name val="HG丸ｺﾞｼｯｸM-PRO"/>
      <family val="3"/>
      <charset val="128"/>
    </font>
    <font>
      <sz val="24"/>
      <color theme="1"/>
      <name val="HG丸ｺﾞｼｯｸM-PRO"/>
      <family val="3"/>
      <charset val="128"/>
    </font>
    <font>
      <sz val="10"/>
      <color rgb="FFFF0000"/>
      <name val="HG丸ｺﾞｼｯｸM-PRO"/>
      <family val="3"/>
      <charset val="128"/>
    </font>
    <font>
      <sz val="6"/>
      <color rgb="FFFF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24"/>
      <color rgb="FFFF0000"/>
      <name val="HG丸ｺﾞｼｯｸM-PRO"/>
      <family val="3"/>
      <charset val="128"/>
    </font>
    <font>
      <sz val="24"/>
      <color rgb="FF0070C0"/>
      <name val="HG丸ｺﾞｼｯｸM-PRO"/>
      <family val="3"/>
      <charset val="128"/>
    </font>
    <font>
      <sz val="10"/>
      <color rgb="FF0070C0"/>
      <name val="HG丸ｺﾞｼｯｸM-PRO"/>
      <family val="3"/>
      <charset val="128"/>
    </font>
    <font>
      <sz val="6"/>
      <color rgb="FF0070C0"/>
      <name val="HG丸ｺﾞｼｯｸM-PRO"/>
      <family val="3"/>
      <charset val="128"/>
    </font>
    <font>
      <sz val="11"/>
      <color rgb="FF0070C0"/>
      <name val="ＭＳ Ｐゴシック"/>
      <family val="3"/>
      <charset val="128"/>
    </font>
    <font>
      <sz val="10"/>
      <name val="HG丸ｺﾞｼｯｸM-PRO"/>
      <family val="3"/>
      <charset val="128"/>
    </font>
    <font>
      <sz val="12"/>
      <name val="HG丸ｺﾞｼｯｸM-PRO"/>
      <family val="3"/>
      <charset val="128"/>
    </font>
    <font>
      <sz val="11"/>
      <name val="HG丸ｺﾞｼｯｸM-PRO"/>
      <family val="3"/>
      <charset val="128"/>
    </font>
    <font>
      <sz val="10"/>
      <name val="AR P明朝体U"/>
      <family val="3"/>
      <charset val="128"/>
    </font>
    <font>
      <sz val="9"/>
      <name val="HG丸ｺﾞｼｯｸM-PRO"/>
      <family val="3"/>
      <charset val="128"/>
    </font>
    <font>
      <b/>
      <sz val="6"/>
      <color indexed="10"/>
      <name val="HG丸ｺﾞｼｯｸM-PRO"/>
      <family val="3"/>
      <charset val="128"/>
    </font>
    <font>
      <b/>
      <sz val="6"/>
      <color rgb="FFFF0000"/>
      <name val="HG丸ｺﾞｼｯｸM-PRO"/>
      <family val="3"/>
      <charset val="128"/>
    </font>
    <font>
      <sz val="8"/>
      <color rgb="FFFF0000"/>
      <name val="HG丸ｺﾞｼｯｸM-PRO"/>
      <family val="3"/>
      <charset val="128"/>
    </font>
    <font>
      <b/>
      <sz val="9"/>
      <color rgb="FFFF0000"/>
      <name val="HG丸ｺﾞｼｯｸM-PRO"/>
      <family val="3"/>
      <charset val="128"/>
    </font>
    <font>
      <b/>
      <sz val="9"/>
      <name val="HG丸ｺﾞｼｯｸM-PRO"/>
      <family val="3"/>
      <charset val="128"/>
    </font>
    <font>
      <b/>
      <sz val="8"/>
      <color theme="3" tint="-0.249977111117893"/>
      <name val="HG丸ｺﾞｼｯｸM-PRO"/>
      <family val="3"/>
      <charset val="128"/>
    </font>
    <font>
      <b/>
      <sz val="8"/>
      <color indexed="10"/>
      <name val="HG丸ｺﾞｼｯｸM-PRO"/>
      <family val="3"/>
      <charset val="128"/>
    </font>
    <font>
      <b/>
      <sz val="18"/>
      <color theme="1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b/>
      <sz val="6"/>
      <color rgb="FF0070C0"/>
      <name val="HG丸ｺﾞｼｯｸM-PRO"/>
      <family val="3"/>
      <charset val="128"/>
    </font>
    <font>
      <b/>
      <sz val="10"/>
      <color rgb="FF0070C0"/>
      <name val="HG丸ｺﾞｼｯｸM-PRO"/>
      <family val="3"/>
      <charset val="128"/>
    </font>
    <font>
      <b/>
      <sz val="6"/>
      <color theme="1"/>
      <name val="HG丸ｺﾞｼｯｸM-PRO"/>
      <family val="3"/>
      <charset val="128"/>
    </font>
    <font>
      <b/>
      <sz val="5"/>
      <color theme="1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27" xfId="0" applyFont="1" applyBorder="1" applyAlignment="1">
      <alignment horizontal="centerContinuous" vertical="center"/>
    </xf>
    <xf numFmtId="0" fontId="0" fillId="0" borderId="27" xfId="0" applyBorder="1" applyAlignment="1">
      <alignment horizontal="centerContinuous"/>
    </xf>
    <xf numFmtId="0" fontId="24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" vertical="center" shrinkToFit="1"/>
    </xf>
    <xf numFmtId="0" fontId="30" fillId="0" borderId="16" xfId="0" applyFont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 shrinkToFit="1"/>
    </xf>
    <xf numFmtId="0" fontId="31" fillId="0" borderId="16" xfId="0" applyFont="1" applyBorder="1" applyAlignment="1">
      <alignment horizontal="center" vertical="center" shrinkToFit="1"/>
    </xf>
    <xf numFmtId="0" fontId="22" fillId="0" borderId="0" xfId="0" applyFont="1" applyAlignment="1">
      <alignment vertical="center" shrinkToFit="1"/>
    </xf>
    <xf numFmtId="0" fontId="20" fillId="0" borderId="16" xfId="0" applyFont="1" applyBorder="1" applyAlignment="1">
      <alignment horizontal="left" vertical="center" shrinkToFit="1"/>
    </xf>
    <xf numFmtId="0" fontId="21" fillId="0" borderId="0" xfId="0" applyFont="1" applyAlignment="1">
      <alignment horizontal="center" vertical="center" shrinkToFit="1"/>
    </xf>
    <xf numFmtId="0" fontId="23" fillId="0" borderId="16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 vertical="center" shrinkToFit="1"/>
    </xf>
    <xf numFmtId="0" fontId="17" fillId="0" borderId="15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24" fillId="2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shrinkToFit="1"/>
    </xf>
    <xf numFmtId="0" fontId="12" fillId="0" borderId="26" xfId="0" applyFont="1" applyFill="1" applyBorder="1" applyAlignment="1">
      <alignment horizontal="center" vertical="center" shrinkToFit="1"/>
    </xf>
    <xf numFmtId="0" fontId="5" fillId="0" borderId="18" xfId="0" applyFont="1" applyFill="1" applyBorder="1" applyAlignment="1">
      <alignment horizontal="center" vertical="center" shrinkToFit="1"/>
    </xf>
    <xf numFmtId="0" fontId="5" fillId="0" borderId="20" xfId="0" applyFont="1" applyFill="1" applyBorder="1" applyAlignment="1">
      <alignment horizontal="center" vertical="center" shrinkToFit="1"/>
    </xf>
    <xf numFmtId="0" fontId="5" fillId="0" borderId="2" xfId="0" applyFont="1" applyFill="1" applyBorder="1" applyAlignment="1">
      <alignment horizontal="center" vertical="center" shrinkToFit="1"/>
    </xf>
    <xf numFmtId="0" fontId="17" fillId="0" borderId="17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12" fillId="0" borderId="24" xfId="0" applyFont="1" applyFill="1" applyBorder="1" applyAlignment="1">
      <alignment horizontal="center" vertical="center" shrinkToFit="1"/>
    </xf>
    <xf numFmtId="0" fontId="5" fillId="0" borderId="7" xfId="0" applyFont="1" applyFill="1" applyBorder="1" applyAlignment="1">
      <alignment horizontal="center" vertical="center" shrinkToFit="1"/>
    </xf>
    <xf numFmtId="0" fontId="12" fillId="0" borderId="4" xfId="0" applyFont="1" applyFill="1" applyBorder="1" applyAlignment="1">
      <alignment horizontal="center" vertical="center" shrinkToFit="1"/>
    </xf>
    <xf numFmtId="0" fontId="7" fillId="0" borderId="19" xfId="0" applyFont="1" applyFill="1" applyBorder="1" applyAlignment="1">
      <alignment horizontal="center" vertical="center" shrinkToFit="1"/>
    </xf>
    <xf numFmtId="0" fontId="5" fillId="0" borderId="5" xfId="0" applyFont="1" applyFill="1" applyBorder="1" applyAlignment="1">
      <alignment horizontal="center" vertical="center" shrinkToFit="1"/>
    </xf>
    <xf numFmtId="0" fontId="7" fillId="0" borderId="5" xfId="0" applyFont="1" applyFill="1" applyBorder="1" applyAlignment="1">
      <alignment horizontal="center" vertical="center" shrinkToFit="1"/>
    </xf>
    <xf numFmtId="0" fontId="18" fillId="0" borderId="6" xfId="0" applyFont="1" applyFill="1" applyBorder="1" applyAlignment="1">
      <alignment horizontal="center" vertical="center" shrinkToFit="1"/>
    </xf>
    <xf numFmtId="0" fontId="13" fillId="0" borderId="22" xfId="0" applyFont="1" applyFill="1" applyBorder="1" applyAlignment="1">
      <alignment horizontal="center" vertical="center" shrinkToFit="1"/>
    </xf>
    <xf numFmtId="0" fontId="17" fillId="0" borderId="8" xfId="0" applyFont="1" applyFill="1" applyBorder="1" applyAlignment="1">
      <alignment horizontal="center" vertical="center" shrinkToFit="1"/>
    </xf>
    <xf numFmtId="0" fontId="5" fillId="0" borderId="28" xfId="0" applyFont="1" applyFill="1" applyBorder="1" applyAlignment="1">
      <alignment horizontal="center" vertical="center" shrinkToFit="1"/>
    </xf>
    <xf numFmtId="0" fontId="5" fillId="0" borderId="23" xfId="0" applyFont="1" applyFill="1" applyBorder="1" applyAlignment="1">
      <alignment horizontal="center" vertical="center" shrinkToFit="1"/>
    </xf>
    <xf numFmtId="0" fontId="26" fillId="0" borderId="4" xfId="0" applyFont="1" applyFill="1" applyBorder="1" applyAlignment="1">
      <alignment horizontal="center" vertical="center" shrinkToFit="1"/>
    </xf>
    <xf numFmtId="0" fontId="12" fillId="0" borderId="21" xfId="0" applyFont="1" applyFill="1" applyBorder="1" applyAlignment="1">
      <alignment horizontal="center" vertical="center" shrinkToFit="1"/>
    </xf>
    <xf numFmtId="0" fontId="12" fillId="0" borderId="32" xfId="0" applyFont="1" applyFill="1" applyBorder="1" applyAlignment="1">
      <alignment horizontal="center" vertical="center" shrinkToFit="1"/>
    </xf>
    <xf numFmtId="0" fontId="17" fillId="0" borderId="3" xfId="0" applyFont="1" applyFill="1" applyBorder="1" applyAlignment="1">
      <alignment horizontal="center" vertical="center" shrinkToFit="1"/>
    </xf>
    <xf numFmtId="0" fontId="17" fillId="0" borderId="6" xfId="0" applyFont="1" applyFill="1" applyBorder="1" applyAlignment="1">
      <alignment horizontal="center" vertical="center" shrinkToFit="1"/>
    </xf>
    <xf numFmtId="0" fontId="5" fillId="0" borderId="19" xfId="0" applyFont="1" applyFill="1" applyBorder="1" applyAlignment="1">
      <alignment horizontal="center" vertical="center" shrinkToFit="1"/>
    </xf>
    <xf numFmtId="0" fontId="5" fillId="0" borderId="35" xfId="0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 shrinkToFit="1"/>
    </xf>
    <xf numFmtId="0" fontId="0" fillId="0" borderId="0" xfId="0" applyFill="1" applyAlignment="1">
      <alignment horizontal="center" vertical="center" shrinkToFit="1"/>
    </xf>
    <xf numFmtId="0" fontId="12" fillId="0" borderId="9" xfId="0" applyFont="1" applyFill="1" applyBorder="1" applyAlignment="1">
      <alignment horizontal="center" vertical="center" shrinkToFit="1"/>
    </xf>
    <xf numFmtId="0" fontId="5" fillId="0" borderId="25" xfId="0" applyFont="1" applyFill="1" applyBorder="1" applyAlignment="1">
      <alignment horizontal="center" vertical="center" shrinkToFit="1"/>
    </xf>
    <xf numFmtId="0" fontId="17" fillId="0" borderId="11" xfId="0" applyFont="1" applyFill="1" applyBorder="1" applyAlignment="1">
      <alignment horizontal="center" vertical="center" shrinkToFit="1"/>
    </xf>
    <xf numFmtId="0" fontId="3" fillId="0" borderId="0" xfId="0" applyFont="1" applyFill="1" applyAlignment="1">
      <alignment horizontal="center" vertical="center" shrinkToFit="1"/>
    </xf>
    <xf numFmtId="0" fontId="5" fillId="0" borderId="10" xfId="0" applyFont="1" applyFill="1" applyBorder="1" applyAlignment="1">
      <alignment horizontal="center" vertical="center" shrinkToFit="1"/>
    </xf>
    <xf numFmtId="0" fontId="30" fillId="0" borderId="16" xfId="0" applyFont="1" applyFill="1" applyBorder="1" applyAlignment="1">
      <alignment horizontal="center" vertical="center" shrinkToFit="1"/>
    </xf>
    <xf numFmtId="0" fontId="20" fillId="0" borderId="16" xfId="0" applyFont="1" applyFill="1" applyBorder="1" applyAlignment="1">
      <alignment horizontal="left" vertical="center" shrinkToFit="1"/>
    </xf>
    <xf numFmtId="0" fontId="21" fillId="0" borderId="0" xfId="0" applyFont="1" applyFill="1" applyAlignment="1">
      <alignment horizontal="center" vertical="center" shrinkToFit="1"/>
    </xf>
    <xf numFmtId="0" fontId="23" fillId="0" borderId="16" xfId="0" applyFont="1" applyFill="1" applyBorder="1" applyAlignment="1">
      <alignment horizontal="center" vertical="center" shrinkToFit="1"/>
    </xf>
    <xf numFmtId="0" fontId="27" fillId="0" borderId="16" xfId="0" applyFont="1" applyFill="1" applyBorder="1" applyAlignment="1">
      <alignment horizontal="center" vertical="center" shrinkToFit="1"/>
    </xf>
    <xf numFmtId="0" fontId="31" fillId="0" borderId="16" xfId="0" applyFont="1" applyFill="1" applyBorder="1" applyAlignment="1">
      <alignment horizontal="center" vertical="center" shrinkToFit="1"/>
    </xf>
    <xf numFmtId="0" fontId="22" fillId="0" borderId="0" xfId="0" applyFont="1" applyFill="1" applyAlignment="1">
      <alignment horizontal="center" vertical="center" shrinkToFit="1"/>
    </xf>
    <xf numFmtId="0" fontId="12" fillId="0" borderId="13" xfId="0" applyFont="1" applyFill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shrinkToFit="1"/>
    </xf>
    <xf numFmtId="0" fontId="17" fillId="0" borderId="15" xfId="0" applyFont="1" applyFill="1" applyBorder="1" applyAlignment="1">
      <alignment horizontal="center" vertical="center" shrinkToFit="1"/>
    </xf>
    <xf numFmtId="0" fontId="26" fillId="0" borderId="22" xfId="0" applyFont="1" applyFill="1" applyBorder="1" applyAlignment="1">
      <alignment horizontal="center" vertical="center" shrinkToFit="1"/>
    </xf>
    <xf numFmtId="0" fontId="5" fillId="0" borderId="29" xfId="0" applyFont="1" applyFill="1" applyBorder="1" applyAlignment="1">
      <alignment horizontal="center" vertical="center" shrinkToFit="1"/>
    </xf>
    <xf numFmtId="0" fontId="6" fillId="0" borderId="0" xfId="0" applyFont="1" applyFill="1" applyAlignment="1">
      <alignment horizontal="center" vertical="center" shrinkToFit="1"/>
    </xf>
    <xf numFmtId="0" fontId="13" fillId="0" borderId="4" xfId="0" applyFont="1" applyFill="1" applyBorder="1" applyAlignment="1">
      <alignment horizontal="center" vertical="center" shrinkToFit="1"/>
    </xf>
    <xf numFmtId="0" fontId="13" fillId="0" borderId="9" xfId="0" applyFont="1" applyFill="1" applyBorder="1" applyAlignment="1">
      <alignment horizontal="center" vertical="center" shrinkToFit="1"/>
    </xf>
    <xf numFmtId="0" fontId="7" fillId="0" borderId="10" xfId="0" applyFont="1" applyFill="1" applyBorder="1" applyAlignment="1">
      <alignment horizontal="center" vertical="center" shrinkToFit="1"/>
    </xf>
    <xf numFmtId="0" fontId="7" fillId="0" borderId="31" xfId="0" applyFont="1" applyFill="1" applyBorder="1" applyAlignment="1">
      <alignment horizontal="center" vertical="center" shrinkToFit="1"/>
    </xf>
    <xf numFmtId="0" fontId="21" fillId="0" borderId="16" xfId="0" applyFont="1" applyFill="1" applyBorder="1" applyAlignment="1">
      <alignment horizontal="center" vertical="center" shrinkToFit="1"/>
    </xf>
    <xf numFmtId="0" fontId="7" fillId="0" borderId="18" xfId="0" applyFont="1" applyFill="1" applyBorder="1" applyAlignment="1">
      <alignment horizontal="center" vertical="center" shrinkToFit="1"/>
    </xf>
    <xf numFmtId="0" fontId="18" fillId="0" borderId="11" xfId="0" applyFont="1" applyFill="1" applyBorder="1" applyAlignment="1">
      <alignment horizontal="center" vertical="center" shrinkToFit="1"/>
    </xf>
    <xf numFmtId="0" fontId="12" fillId="0" borderId="22" xfId="0" applyFont="1" applyFill="1" applyBorder="1" applyAlignment="1">
      <alignment horizontal="center" vertical="center" shrinkToFit="1"/>
    </xf>
    <xf numFmtId="0" fontId="5" fillId="0" borderId="12" xfId="0" applyFont="1" applyFill="1" applyBorder="1" applyAlignment="1">
      <alignment horizontal="center" vertical="center" shrinkToFit="1"/>
    </xf>
    <xf numFmtId="0" fontId="24" fillId="0" borderId="16" xfId="0" applyFont="1" applyFill="1" applyBorder="1" applyAlignment="1">
      <alignment horizontal="left" vertical="center" shrinkToFit="1"/>
    </xf>
    <xf numFmtId="0" fontId="7" fillId="0" borderId="12" xfId="0" applyFont="1" applyFill="1" applyBorder="1" applyAlignment="1">
      <alignment horizontal="center" vertical="center" shrinkToFit="1"/>
    </xf>
    <xf numFmtId="0" fontId="9" fillId="0" borderId="0" xfId="0" applyFont="1" applyFill="1" applyAlignment="1">
      <alignment vertical="center" shrinkToFit="1"/>
    </xf>
    <xf numFmtId="0" fontId="26" fillId="0" borderId="1" xfId="0" applyFont="1" applyFill="1" applyBorder="1" applyAlignment="1">
      <alignment horizontal="center" vertical="center" shrinkToFit="1"/>
    </xf>
    <xf numFmtId="0" fontId="26" fillId="0" borderId="9" xfId="0" applyFont="1" applyFill="1" applyBorder="1" applyAlignment="1">
      <alignment horizontal="center" vertical="center" shrinkToFit="1"/>
    </xf>
    <xf numFmtId="0" fontId="34" fillId="0" borderId="6" xfId="0" applyFont="1" applyFill="1" applyBorder="1" applyAlignment="1">
      <alignment horizontal="center" vertical="center" shrinkToFit="1"/>
    </xf>
    <xf numFmtId="0" fontId="35" fillId="0" borderId="34" xfId="0" applyFont="1" applyFill="1" applyBorder="1" applyAlignment="1">
      <alignment horizontal="center" vertical="center" shrinkToFit="1"/>
    </xf>
    <xf numFmtId="0" fontId="34" fillId="0" borderId="11" xfId="0" applyFont="1" applyFill="1" applyBorder="1" applyAlignment="1">
      <alignment horizontal="center" vertical="center" shrinkToFit="1"/>
    </xf>
    <xf numFmtId="0" fontId="36" fillId="0" borderId="5" xfId="0" applyFont="1" applyFill="1" applyBorder="1" applyAlignment="1">
      <alignment horizontal="center" vertical="center" shrinkToFit="1"/>
    </xf>
    <xf numFmtId="0" fontId="36" fillId="0" borderId="19" xfId="0" applyFont="1" applyFill="1" applyBorder="1" applyAlignment="1">
      <alignment horizontal="center" vertical="center" shrinkToFit="1"/>
    </xf>
    <xf numFmtId="0" fontId="36" fillId="0" borderId="29" xfId="0" applyFont="1" applyFill="1" applyBorder="1" applyAlignment="1">
      <alignment horizontal="center" vertical="center" shrinkToFit="1"/>
    </xf>
    <xf numFmtId="0" fontId="37" fillId="0" borderId="19" xfId="0" applyFont="1" applyFill="1" applyBorder="1" applyAlignment="1">
      <alignment horizontal="center" vertical="center" shrinkToFit="1"/>
    </xf>
    <xf numFmtId="0" fontId="37" fillId="0" borderId="25" xfId="0" applyFont="1" applyFill="1" applyBorder="1" applyAlignment="1">
      <alignment horizontal="center" vertical="center" shrinkToFit="1"/>
    </xf>
    <xf numFmtId="0" fontId="36" fillId="0" borderId="10" xfId="0" applyFont="1" applyFill="1" applyBorder="1" applyAlignment="1">
      <alignment horizontal="center" vertical="center" shrinkToFit="1"/>
    </xf>
    <xf numFmtId="0" fontId="36" fillId="0" borderId="12" xfId="0" applyFont="1" applyFill="1" applyBorder="1" applyAlignment="1">
      <alignment horizontal="center" vertical="center" shrinkToFit="1"/>
    </xf>
    <xf numFmtId="0" fontId="37" fillId="0" borderId="18" xfId="0" applyFont="1" applyFill="1" applyBorder="1" applyAlignment="1">
      <alignment horizontal="center" vertical="center" shrinkToFit="1"/>
    </xf>
    <xf numFmtId="0" fontId="36" fillId="0" borderId="2" xfId="0" applyFont="1" applyFill="1" applyBorder="1" applyAlignment="1">
      <alignment horizontal="center" vertical="center" shrinkToFit="1"/>
    </xf>
    <xf numFmtId="0" fontId="37" fillId="0" borderId="5" xfId="0" applyFont="1" applyFill="1" applyBorder="1" applyAlignment="1">
      <alignment horizontal="center" vertical="center" shrinkToFit="1"/>
    </xf>
    <xf numFmtId="0" fontId="37" fillId="0" borderId="10" xfId="0" applyFont="1" applyFill="1" applyBorder="1" applyAlignment="1">
      <alignment horizontal="center" vertical="center" shrinkToFit="1"/>
    </xf>
    <xf numFmtId="0" fontId="37" fillId="0" borderId="30" xfId="0" applyFont="1" applyFill="1" applyBorder="1" applyAlignment="1">
      <alignment horizontal="center" vertical="center" shrinkToFit="1"/>
    </xf>
    <xf numFmtId="0" fontId="7" fillId="0" borderId="2" xfId="0" applyFont="1" applyFill="1" applyBorder="1" applyAlignment="1">
      <alignment horizontal="center" vertical="center" shrinkToFit="1"/>
    </xf>
    <xf numFmtId="0" fontId="5" fillId="0" borderId="33" xfId="0" applyFont="1" applyFill="1" applyBorder="1" applyAlignment="1">
      <alignment horizontal="center" vertical="center" shrinkToFit="1"/>
    </xf>
    <xf numFmtId="0" fontId="36" fillId="0" borderId="0" xfId="0" applyFont="1" applyFill="1" applyAlignment="1">
      <alignment horizontal="center" vertical="center" shrinkToFit="1"/>
    </xf>
    <xf numFmtId="0" fontId="21" fillId="0" borderId="16" xfId="0" applyFont="1" applyBorder="1" applyAlignment="1">
      <alignment horizontal="center" vertical="center" shrinkToFit="1"/>
    </xf>
    <xf numFmtId="0" fontId="21" fillId="0" borderId="36" xfId="0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93"/>
  <sheetViews>
    <sheetView tabSelected="1" zoomScale="145" zoomScaleNormal="145" workbookViewId="0">
      <selection activeCell="T5" sqref="T5"/>
    </sheetView>
  </sheetViews>
  <sheetFormatPr defaultColWidth="9" defaultRowHeight="13.2"/>
  <cols>
    <col min="1" max="1" width="2.6640625" style="1" customWidth="1"/>
    <col min="2" max="2" width="8.109375" style="7" customWidth="1"/>
    <col min="3" max="7" width="8.109375" style="3" customWidth="1"/>
    <col min="8" max="8" width="8.109375" style="8" customWidth="1"/>
    <col min="9" max="9" width="4.6640625" style="3" customWidth="1"/>
    <col min="10" max="10" width="8.109375" style="7" customWidth="1"/>
    <col min="11" max="15" width="8.109375" style="3" customWidth="1"/>
    <col min="16" max="16" width="8.109375" style="8" customWidth="1"/>
    <col min="17" max="17" width="2.6640625" style="1" customWidth="1"/>
    <col min="18" max="18" width="9" style="1" customWidth="1"/>
    <col min="19" max="16384" width="9" style="1"/>
  </cols>
  <sheetData>
    <row r="1" spans="2:23" ht="21.9" customHeight="1">
      <c r="B1" s="46" t="str">
        <f>TEXT(DATE(LEFT(C3,4),"1","1"),"[$-ja-JP-x-gannen]ggge年度") &amp; "（" &amp; LEFT(C3,4) &amp; "年）"</f>
        <v>令和8年度（2026年）</v>
      </c>
      <c r="C1" s="46"/>
      <c r="D1" s="46"/>
      <c r="E1" s="46"/>
      <c r="F1" s="46"/>
      <c r="G1" s="44" t="s">
        <v>32</v>
      </c>
      <c r="H1" s="44"/>
      <c r="I1" s="44"/>
      <c r="J1" s="44"/>
      <c r="K1" s="44"/>
      <c r="L1" s="45" t="str">
        <f>"（労働日数" &amp; L88 &amp; "日/年：休日数" &amp; P88 &amp; "日/年）"</f>
        <v>（労働日数365日/年：休日数0日/年）</v>
      </c>
      <c r="M1" s="45"/>
      <c r="N1" s="45"/>
      <c r="O1" s="45"/>
      <c r="P1" s="45"/>
    </row>
    <row r="2" spans="2:23" ht="11.25" customHeight="1">
      <c r="B2" s="6"/>
      <c r="C2" s="4"/>
      <c r="D2" s="5"/>
      <c r="E2" s="14"/>
      <c r="F2" s="14"/>
      <c r="G2" s="14"/>
      <c r="H2" s="15"/>
      <c r="I2" s="14"/>
      <c r="J2" s="16"/>
      <c r="K2" s="14"/>
      <c r="L2" s="14"/>
      <c r="M2" s="14"/>
      <c r="N2" s="42" t="s">
        <v>0</v>
      </c>
      <c r="O2" s="40"/>
      <c r="P2" s="41"/>
    </row>
    <row r="3" spans="2:23" ht="16.8" customHeight="1">
      <c r="B3" s="29">
        <f>30-H3</f>
        <v>30</v>
      </c>
      <c r="C3" s="123" t="s">
        <v>1</v>
      </c>
      <c r="D3" s="123"/>
      <c r="E3" s="123"/>
      <c r="F3" s="123"/>
      <c r="G3" s="123"/>
      <c r="H3" s="31"/>
      <c r="I3" s="32"/>
      <c r="J3" s="29">
        <f>31-P3</f>
        <v>31</v>
      </c>
      <c r="K3" s="33"/>
      <c r="L3" s="33"/>
      <c r="M3" s="34" t="s">
        <v>2</v>
      </c>
      <c r="N3" s="35"/>
      <c r="O3" s="30"/>
      <c r="P3" s="31"/>
    </row>
    <row r="4" spans="2:23" s="2" customFormat="1" ht="15" customHeight="1">
      <c r="B4" s="36" t="s">
        <v>3</v>
      </c>
      <c r="C4" s="37" t="s">
        <v>4</v>
      </c>
      <c r="D4" s="37" t="s">
        <v>5</v>
      </c>
      <c r="E4" s="37" t="s">
        <v>6</v>
      </c>
      <c r="F4" s="37" t="s">
        <v>7</v>
      </c>
      <c r="G4" s="37" t="s">
        <v>8</v>
      </c>
      <c r="H4" s="38" t="s">
        <v>9</v>
      </c>
      <c r="I4" s="28"/>
      <c r="J4" s="36" t="s">
        <v>3</v>
      </c>
      <c r="K4" s="37" t="s">
        <v>4</v>
      </c>
      <c r="L4" s="37" t="s">
        <v>5</v>
      </c>
      <c r="M4" s="37" t="s">
        <v>6</v>
      </c>
      <c r="N4" s="37" t="s">
        <v>7</v>
      </c>
      <c r="O4" s="37" t="s">
        <v>8</v>
      </c>
      <c r="P4" s="38" t="s">
        <v>9</v>
      </c>
    </row>
    <row r="5" spans="2:23" s="2" customFormat="1" ht="15.6" customHeight="1">
      <c r="B5" s="47"/>
      <c r="C5" s="48"/>
      <c r="D5" s="49"/>
      <c r="E5" s="50"/>
      <c r="F5" s="50"/>
      <c r="G5" s="89"/>
      <c r="H5" s="51"/>
      <c r="I5" s="52"/>
      <c r="J5" s="53"/>
      <c r="K5" s="50"/>
      <c r="L5" s="50"/>
      <c r="M5" s="50"/>
      <c r="N5" s="54"/>
      <c r="O5" s="54"/>
      <c r="P5" s="51"/>
    </row>
    <row r="6" spans="2:23" s="2" customFormat="1" ht="9.6" customHeight="1">
      <c r="B6" s="55"/>
      <c r="C6" s="56"/>
      <c r="D6" s="57"/>
      <c r="E6" s="56"/>
      <c r="F6" s="58"/>
      <c r="G6" s="108"/>
      <c r="H6" s="59"/>
      <c r="I6" s="52"/>
      <c r="J6" s="60"/>
      <c r="K6" s="58"/>
      <c r="L6" s="58"/>
      <c r="M6" s="58"/>
      <c r="N6" s="58"/>
      <c r="O6" s="58"/>
      <c r="P6" s="59"/>
    </row>
    <row r="7" spans="2:23" s="2" customFormat="1" ht="15.6" customHeight="1">
      <c r="B7" s="47"/>
      <c r="C7" s="63"/>
      <c r="D7" s="54"/>
      <c r="E7" s="54"/>
      <c r="F7" s="54"/>
      <c r="G7" s="54"/>
      <c r="H7" s="61"/>
      <c r="I7" s="52"/>
      <c r="J7" s="47"/>
      <c r="K7" s="62"/>
      <c r="L7" s="63"/>
      <c r="M7" s="54"/>
      <c r="N7" s="54"/>
      <c r="O7" s="54"/>
      <c r="P7" s="61"/>
    </row>
    <row r="8" spans="2:23" s="2" customFormat="1" ht="9.6" customHeight="1">
      <c r="B8" s="64"/>
      <c r="C8" s="109"/>
      <c r="D8" s="57"/>
      <c r="E8" s="58"/>
      <c r="F8" s="57"/>
      <c r="G8" s="58"/>
      <c r="H8" s="105"/>
      <c r="I8" s="52"/>
      <c r="J8" s="64"/>
      <c r="K8" s="114"/>
      <c r="L8" s="109"/>
      <c r="M8" s="58"/>
      <c r="N8" s="58"/>
      <c r="O8" s="58"/>
      <c r="P8" s="59"/>
    </row>
    <row r="9" spans="2:23" s="2" customFormat="1" ht="15.6" customHeight="1">
      <c r="B9" s="47"/>
      <c r="C9" s="54"/>
      <c r="D9" s="54"/>
      <c r="E9" s="54"/>
      <c r="F9" s="54"/>
      <c r="G9" s="54"/>
      <c r="H9" s="61"/>
      <c r="I9" s="52"/>
      <c r="J9" s="65"/>
      <c r="K9" s="54"/>
      <c r="L9" s="62"/>
      <c r="M9" s="54"/>
      <c r="N9" s="54"/>
      <c r="O9" s="54"/>
      <c r="P9" s="61"/>
    </row>
    <row r="10" spans="2:23" s="2" customFormat="1" ht="9.6" customHeight="1">
      <c r="B10" s="55"/>
      <c r="C10" s="110"/>
      <c r="D10" s="57"/>
      <c r="E10" s="58"/>
      <c r="F10" s="57"/>
      <c r="G10" s="57"/>
      <c r="H10" s="59"/>
      <c r="I10" s="52"/>
      <c r="J10" s="64"/>
      <c r="K10" s="108"/>
      <c r="L10" s="114"/>
      <c r="M10" s="114"/>
      <c r="N10" s="114"/>
      <c r="O10" s="108"/>
      <c r="P10" s="59"/>
    </row>
    <row r="11" spans="2:23" s="2" customFormat="1" ht="15.6" customHeight="1">
      <c r="B11" s="47"/>
      <c r="C11" s="63"/>
      <c r="D11" s="54"/>
      <c r="E11" s="54"/>
      <c r="F11" s="54"/>
      <c r="G11" s="54"/>
      <c r="H11" s="61"/>
      <c r="I11" s="52"/>
      <c r="J11" s="66"/>
      <c r="K11" s="50"/>
      <c r="L11" s="50"/>
      <c r="M11" s="50"/>
      <c r="N11" s="50"/>
      <c r="O11" s="50"/>
      <c r="P11" s="67"/>
      <c r="U11" s="22"/>
    </row>
    <row r="12" spans="2:23" s="2" customFormat="1" ht="9.6" customHeight="1">
      <c r="B12" s="55"/>
      <c r="C12" s="56"/>
      <c r="D12" s="50"/>
      <c r="E12" s="58"/>
      <c r="F12" s="50"/>
      <c r="G12" s="58"/>
      <c r="H12" s="59"/>
      <c r="I12" s="52"/>
      <c r="J12" s="55"/>
      <c r="K12" s="58"/>
      <c r="L12" s="57"/>
      <c r="M12" s="57"/>
      <c r="N12" s="116"/>
      <c r="O12" s="57"/>
      <c r="P12" s="68"/>
    </row>
    <row r="13" spans="2:23" s="2" customFormat="1" ht="15.6" customHeight="1">
      <c r="B13" s="47"/>
      <c r="C13" s="63"/>
      <c r="D13" s="54"/>
      <c r="E13" s="54"/>
      <c r="F13" s="54"/>
      <c r="G13" s="62"/>
      <c r="H13" s="61"/>
      <c r="I13" s="52"/>
      <c r="J13" s="47"/>
      <c r="K13" s="54"/>
      <c r="L13" s="54"/>
      <c r="M13" s="54"/>
      <c r="N13" s="62"/>
      <c r="O13" s="54"/>
      <c r="P13" s="67"/>
      <c r="T13" s="23"/>
      <c r="U13" s="23"/>
      <c r="V13" s="23"/>
      <c r="W13" s="23"/>
    </row>
    <row r="14" spans="2:23" s="2" customFormat="1" ht="9.6" customHeight="1">
      <c r="B14" s="55"/>
      <c r="C14" s="69"/>
      <c r="D14" s="111"/>
      <c r="E14" s="111"/>
      <c r="F14" s="111"/>
      <c r="G14" s="108"/>
      <c r="H14" s="68"/>
      <c r="I14" s="70"/>
      <c r="J14" s="55"/>
      <c r="K14" s="57"/>
      <c r="L14" s="57"/>
      <c r="M14" s="57"/>
      <c r="N14" s="117"/>
      <c r="O14" s="111"/>
      <c r="P14" s="68"/>
    </row>
    <row r="15" spans="2:23" s="10" customFormat="1" ht="15.6" customHeight="1">
      <c r="B15" s="71"/>
      <c r="C15" s="48"/>
      <c r="D15" s="50"/>
      <c r="E15" s="50"/>
      <c r="F15" s="50"/>
      <c r="G15" s="89"/>
      <c r="H15" s="67"/>
      <c r="I15" s="72"/>
      <c r="J15" s="71"/>
      <c r="K15" s="50"/>
      <c r="L15" s="50"/>
      <c r="M15" s="50"/>
      <c r="N15" s="89"/>
      <c r="O15" s="50"/>
      <c r="P15" s="106"/>
    </row>
    <row r="16" spans="2:23" s="2" customFormat="1" ht="9.6" customHeight="1">
      <c r="B16" s="73"/>
      <c r="C16" s="74"/>
      <c r="D16" s="112"/>
      <c r="E16" s="112"/>
      <c r="F16" s="112"/>
      <c r="G16" s="113"/>
      <c r="H16" s="75"/>
      <c r="I16" s="76"/>
      <c r="J16" s="73"/>
      <c r="K16" s="77"/>
      <c r="L16" s="77"/>
      <c r="M16" s="77"/>
      <c r="N16" s="118"/>
      <c r="O16" s="112"/>
      <c r="P16" s="107"/>
    </row>
    <row r="17" spans="2:16" s="2" customFormat="1" ht="16.8" customHeight="1">
      <c r="B17" s="78">
        <f>31-H17</f>
        <v>31</v>
      </c>
      <c r="C17" s="79"/>
      <c r="D17" s="79"/>
      <c r="E17" s="80" t="s">
        <v>10</v>
      </c>
      <c r="F17" s="81"/>
      <c r="G17" s="82"/>
      <c r="H17" s="83"/>
      <c r="I17" s="84"/>
      <c r="J17" s="78">
        <f>30-P17</f>
        <v>30</v>
      </c>
      <c r="K17" s="79"/>
      <c r="L17" s="79"/>
      <c r="M17" s="80" t="s">
        <v>11</v>
      </c>
      <c r="N17" s="81"/>
      <c r="O17" s="82"/>
      <c r="P17" s="83"/>
    </row>
    <row r="18" spans="2:16" s="2" customFormat="1" ht="9" customHeight="1">
      <c r="B18" s="85" t="s">
        <v>3</v>
      </c>
      <c r="C18" s="86" t="s">
        <v>4</v>
      </c>
      <c r="D18" s="86" t="s">
        <v>5</v>
      </c>
      <c r="E18" s="86" t="s">
        <v>6</v>
      </c>
      <c r="F18" s="86" t="s">
        <v>7</v>
      </c>
      <c r="G18" s="86" t="s">
        <v>8</v>
      </c>
      <c r="H18" s="87" t="s">
        <v>9</v>
      </c>
      <c r="I18" s="52"/>
      <c r="J18" s="85" t="s">
        <v>3</v>
      </c>
      <c r="K18" s="86" t="s">
        <v>4</v>
      </c>
      <c r="L18" s="86" t="s">
        <v>5</v>
      </c>
      <c r="M18" s="86" t="s">
        <v>6</v>
      </c>
      <c r="N18" s="86" t="s">
        <v>7</v>
      </c>
      <c r="O18" s="86" t="s">
        <v>8</v>
      </c>
      <c r="P18" s="87" t="s">
        <v>9</v>
      </c>
    </row>
    <row r="19" spans="2:16" s="2" customFormat="1" ht="15.6" customHeight="1">
      <c r="B19" s="71"/>
      <c r="C19" s="50"/>
      <c r="D19" s="50"/>
      <c r="E19" s="50"/>
      <c r="F19" s="50"/>
      <c r="G19" s="50"/>
      <c r="H19" s="67"/>
      <c r="I19" s="52"/>
      <c r="J19" s="53"/>
      <c r="K19" s="49"/>
      <c r="L19" s="62"/>
      <c r="M19" s="62"/>
      <c r="N19" s="62"/>
      <c r="O19" s="50"/>
      <c r="P19" s="51"/>
    </row>
    <row r="20" spans="2:16" s="2" customFormat="1" ht="9.6" customHeight="1">
      <c r="B20" s="55"/>
      <c r="C20" s="58"/>
      <c r="D20" s="58"/>
      <c r="E20" s="58"/>
      <c r="F20" s="58"/>
      <c r="G20" s="57"/>
      <c r="H20" s="59"/>
      <c r="I20" s="52"/>
      <c r="J20" s="64"/>
      <c r="K20" s="108"/>
      <c r="L20" s="114"/>
      <c r="M20" s="109"/>
      <c r="N20" s="108"/>
      <c r="O20" s="58"/>
      <c r="P20" s="59"/>
    </row>
    <row r="21" spans="2:16" s="2" customFormat="1" ht="15.6" customHeight="1">
      <c r="B21" s="65"/>
      <c r="C21" s="54"/>
      <c r="D21" s="62"/>
      <c r="E21" s="63"/>
      <c r="F21" s="54"/>
      <c r="G21" s="54"/>
      <c r="H21" s="61"/>
      <c r="I21" s="52"/>
      <c r="J21" s="71"/>
      <c r="K21" s="50"/>
      <c r="L21" s="50"/>
      <c r="M21" s="54"/>
      <c r="N21" s="54"/>
      <c r="O21" s="54"/>
      <c r="P21" s="61"/>
    </row>
    <row r="22" spans="2:16" s="2" customFormat="1" ht="9.6" customHeight="1">
      <c r="B22" s="88"/>
      <c r="C22" s="108"/>
      <c r="D22" s="114"/>
      <c r="E22" s="109"/>
      <c r="F22" s="57"/>
      <c r="G22" s="57"/>
      <c r="H22" s="68"/>
      <c r="I22" s="52"/>
      <c r="J22" s="55"/>
      <c r="K22" s="108"/>
      <c r="L22" s="50"/>
      <c r="M22" s="108"/>
      <c r="N22" s="119"/>
      <c r="O22" s="116"/>
      <c r="P22" s="105"/>
    </row>
    <row r="23" spans="2:16" s="2" customFormat="1" ht="15.6" customHeight="1">
      <c r="B23" s="47"/>
      <c r="C23" s="54"/>
      <c r="D23" s="54"/>
      <c r="E23" s="62"/>
      <c r="F23" s="54"/>
      <c r="G23" s="54"/>
      <c r="H23" s="61"/>
      <c r="I23" s="52"/>
      <c r="J23" s="47"/>
      <c r="K23" s="54"/>
      <c r="L23" s="62"/>
      <c r="M23" s="62"/>
      <c r="N23" s="54"/>
      <c r="O23" s="54"/>
      <c r="P23" s="61"/>
    </row>
    <row r="24" spans="2:16" s="2" customFormat="1" ht="9.6" customHeight="1">
      <c r="B24" s="55"/>
      <c r="C24" s="108"/>
      <c r="D24" s="108"/>
      <c r="E24" s="114"/>
      <c r="F24" s="114"/>
      <c r="G24" s="114"/>
      <c r="H24" s="68"/>
      <c r="I24" s="52"/>
      <c r="J24" s="64"/>
      <c r="K24" s="57"/>
      <c r="L24" s="57"/>
      <c r="M24" s="119"/>
      <c r="N24" s="108"/>
      <c r="O24" s="116"/>
      <c r="P24" s="105"/>
    </row>
    <row r="25" spans="2:16" s="2" customFormat="1" ht="15.6" customHeight="1">
      <c r="B25" s="47"/>
      <c r="C25" s="54"/>
      <c r="D25" s="54"/>
      <c r="E25" s="54"/>
      <c r="F25" s="54"/>
      <c r="G25" s="54"/>
      <c r="H25" s="61"/>
      <c r="I25" s="52"/>
      <c r="J25" s="47"/>
      <c r="K25" s="54"/>
      <c r="L25" s="50"/>
      <c r="M25" s="89"/>
      <c r="N25" s="50"/>
      <c r="O25" s="54"/>
      <c r="P25" s="61"/>
    </row>
    <row r="26" spans="2:16" s="2" customFormat="1" ht="9.6" customHeight="1">
      <c r="B26" s="55"/>
      <c r="C26" s="57"/>
      <c r="D26" s="57"/>
      <c r="E26" s="57"/>
      <c r="F26" s="57"/>
      <c r="G26" s="57"/>
      <c r="H26" s="105"/>
      <c r="I26" s="52"/>
      <c r="J26" s="55"/>
      <c r="K26" s="120"/>
      <c r="L26" s="58"/>
      <c r="M26" s="57"/>
      <c r="N26" s="90"/>
      <c r="O26" s="57"/>
      <c r="P26" s="68"/>
    </row>
    <row r="27" spans="2:16" s="2" customFormat="1" ht="15.6" customHeight="1">
      <c r="B27" s="47"/>
      <c r="C27" s="54"/>
      <c r="D27" s="54"/>
      <c r="E27" s="54"/>
      <c r="F27" s="54"/>
      <c r="G27" s="54"/>
      <c r="H27" s="61"/>
      <c r="I27" s="52"/>
      <c r="J27" s="47"/>
      <c r="K27" s="54"/>
      <c r="L27" s="54"/>
      <c r="M27" s="54"/>
      <c r="N27" s="54"/>
      <c r="O27" s="54"/>
      <c r="P27" s="61"/>
    </row>
    <row r="28" spans="2:16" s="2" customFormat="1" ht="9.6" customHeight="1">
      <c r="B28" s="71"/>
      <c r="C28" s="50"/>
      <c r="D28" s="50"/>
      <c r="E28" s="50"/>
      <c r="F28" s="115"/>
      <c r="G28" s="115"/>
      <c r="H28" s="105"/>
      <c r="I28" s="52"/>
      <c r="J28" s="91"/>
      <c r="K28" s="58"/>
      <c r="L28" s="57"/>
      <c r="M28" s="57"/>
      <c r="N28" s="57"/>
      <c r="O28" s="57"/>
      <c r="P28" s="68"/>
    </row>
    <row r="29" spans="2:16" s="10" customFormat="1" ht="15.6" customHeight="1">
      <c r="B29" s="47"/>
      <c r="C29" s="54"/>
      <c r="D29" s="54"/>
      <c r="E29" s="54"/>
      <c r="F29" s="54"/>
      <c r="G29" s="54"/>
      <c r="H29" s="61"/>
      <c r="I29" s="52"/>
      <c r="J29" s="71"/>
      <c r="K29" s="89"/>
      <c r="L29" s="50"/>
      <c r="M29" s="50"/>
      <c r="N29" s="50"/>
      <c r="O29" s="50"/>
      <c r="P29" s="67"/>
    </row>
    <row r="30" spans="2:16" s="2" customFormat="1" ht="9.6" customHeight="1">
      <c r="B30" s="92"/>
      <c r="C30" s="93"/>
      <c r="D30" s="77"/>
      <c r="E30" s="77"/>
      <c r="F30" s="77"/>
      <c r="G30" s="77"/>
      <c r="H30" s="75"/>
      <c r="I30" s="52"/>
      <c r="J30" s="104"/>
      <c r="K30" s="94"/>
      <c r="L30" s="77"/>
      <c r="M30" s="77"/>
      <c r="N30" s="77"/>
      <c r="O30" s="77"/>
      <c r="P30" s="75"/>
    </row>
    <row r="31" spans="2:16" s="2" customFormat="1" ht="16.8" customHeight="1">
      <c r="B31" s="78">
        <f>30-H31</f>
        <v>30</v>
      </c>
      <c r="C31" s="79"/>
      <c r="D31" s="79"/>
      <c r="E31" s="80" t="s">
        <v>12</v>
      </c>
      <c r="F31" s="81"/>
      <c r="G31" s="82"/>
      <c r="H31" s="83"/>
      <c r="I31" s="84"/>
      <c r="J31" s="78">
        <f>31-P31</f>
        <v>31</v>
      </c>
      <c r="K31" s="79"/>
      <c r="L31" s="79"/>
      <c r="M31" s="95" t="s">
        <v>13</v>
      </c>
      <c r="N31" s="81"/>
      <c r="O31" s="82"/>
      <c r="P31" s="83"/>
    </row>
    <row r="32" spans="2:16" s="2" customFormat="1" ht="9.75" customHeight="1">
      <c r="B32" s="85" t="s">
        <v>3</v>
      </c>
      <c r="C32" s="86" t="s">
        <v>4</v>
      </c>
      <c r="D32" s="86" t="s">
        <v>5</v>
      </c>
      <c r="E32" s="86" t="s">
        <v>6</v>
      </c>
      <c r="F32" s="86" t="s">
        <v>7</v>
      </c>
      <c r="G32" s="86" t="s">
        <v>8</v>
      </c>
      <c r="H32" s="87" t="s">
        <v>9</v>
      </c>
      <c r="I32" s="52"/>
      <c r="J32" s="85" t="s">
        <v>3</v>
      </c>
      <c r="K32" s="86" t="s">
        <v>4</v>
      </c>
      <c r="L32" s="86" t="s">
        <v>5</v>
      </c>
      <c r="M32" s="86" t="s">
        <v>6</v>
      </c>
      <c r="N32" s="86" t="s">
        <v>7</v>
      </c>
      <c r="O32" s="86" t="s">
        <v>8</v>
      </c>
      <c r="P32" s="87" t="s">
        <v>9</v>
      </c>
    </row>
    <row r="33" spans="2:18" s="2" customFormat="1" ht="15.6" customHeight="1">
      <c r="B33" s="47"/>
      <c r="C33" s="48"/>
      <c r="D33" s="50"/>
      <c r="E33" s="54"/>
      <c r="F33" s="62"/>
      <c r="G33" s="62"/>
      <c r="H33" s="67"/>
      <c r="I33" s="52"/>
      <c r="J33" s="71"/>
      <c r="K33" s="49"/>
      <c r="L33" s="49"/>
      <c r="M33" s="49"/>
      <c r="N33" s="89"/>
      <c r="O33" s="49"/>
      <c r="P33" s="51"/>
    </row>
    <row r="34" spans="2:18" s="2" customFormat="1" ht="9.6" customHeight="1">
      <c r="B34" s="55"/>
      <c r="C34" s="56"/>
      <c r="D34" s="108"/>
      <c r="E34" s="114"/>
      <c r="F34" s="109"/>
      <c r="G34" s="108"/>
      <c r="H34" s="59"/>
      <c r="I34" s="52"/>
      <c r="J34" s="55"/>
      <c r="K34" s="56"/>
      <c r="L34" s="56"/>
      <c r="M34" s="58"/>
      <c r="N34" s="108"/>
      <c r="O34" s="58"/>
      <c r="P34" s="59"/>
    </row>
    <row r="35" spans="2:18" s="2" customFormat="1" ht="15.6" customHeight="1">
      <c r="B35" s="47"/>
      <c r="C35" s="54"/>
      <c r="D35" s="50"/>
      <c r="E35" s="54"/>
      <c r="F35" s="54"/>
      <c r="G35" s="54"/>
      <c r="H35" s="61"/>
      <c r="I35" s="52"/>
      <c r="J35" s="47"/>
      <c r="K35" s="54"/>
      <c r="L35" s="54"/>
      <c r="M35" s="63"/>
      <c r="N35" s="54"/>
      <c r="O35" s="62"/>
      <c r="P35" s="61"/>
    </row>
    <row r="36" spans="2:18" s="2" customFormat="1" ht="9.6" customHeight="1">
      <c r="B36" s="55"/>
      <c r="C36" s="58"/>
      <c r="D36" s="57"/>
      <c r="E36" s="57"/>
      <c r="F36" s="108"/>
      <c r="G36" s="111"/>
      <c r="H36" s="105"/>
      <c r="I36" s="52"/>
      <c r="J36" s="55"/>
      <c r="K36" s="90"/>
      <c r="L36" s="58"/>
      <c r="M36" s="56"/>
      <c r="N36" s="57"/>
      <c r="O36" s="108"/>
      <c r="P36" s="68"/>
    </row>
    <row r="37" spans="2:18" s="2" customFormat="1" ht="15.6" customHeight="1">
      <c r="B37" s="47"/>
      <c r="C37" s="54"/>
      <c r="D37" s="54"/>
      <c r="E37" s="54"/>
      <c r="F37" s="54"/>
      <c r="G37" s="54"/>
      <c r="H37" s="61"/>
      <c r="I37" s="52"/>
      <c r="J37" s="47"/>
      <c r="K37" s="54"/>
      <c r="L37" s="54"/>
      <c r="M37" s="54"/>
      <c r="N37" s="50"/>
      <c r="O37" s="54"/>
      <c r="P37" s="61"/>
      <c r="R37" s="17"/>
    </row>
    <row r="38" spans="2:18" s="2" customFormat="1" ht="9.6" customHeight="1">
      <c r="B38" s="103"/>
      <c r="C38" s="116"/>
      <c r="D38" s="111"/>
      <c r="E38" s="57"/>
      <c r="F38" s="57"/>
      <c r="G38" s="57"/>
      <c r="H38" s="68"/>
      <c r="I38" s="52"/>
      <c r="J38" s="64"/>
      <c r="K38" s="110"/>
      <c r="L38" s="116"/>
      <c r="M38" s="111"/>
      <c r="N38" s="57"/>
      <c r="O38" s="57"/>
      <c r="P38" s="59"/>
      <c r="R38" s="17"/>
    </row>
    <row r="39" spans="2:18" s="2" customFormat="1" ht="15.6" customHeight="1">
      <c r="B39" s="47"/>
      <c r="C39" s="54"/>
      <c r="D39" s="63"/>
      <c r="E39" s="54"/>
      <c r="F39" s="54"/>
      <c r="G39" s="54"/>
      <c r="H39" s="61"/>
      <c r="I39" s="52"/>
      <c r="J39" s="47"/>
      <c r="K39" s="54"/>
      <c r="L39" s="54"/>
      <c r="M39" s="54"/>
      <c r="N39" s="54"/>
      <c r="O39" s="54"/>
      <c r="P39" s="61"/>
      <c r="R39" s="17"/>
    </row>
    <row r="40" spans="2:18" s="2" customFormat="1" ht="9.6" customHeight="1">
      <c r="B40" s="55"/>
      <c r="C40" s="108"/>
      <c r="D40" s="58"/>
      <c r="E40" s="58"/>
      <c r="F40" s="58"/>
      <c r="G40" s="57"/>
      <c r="H40" s="59"/>
      <c r="I40" s="52"/>
      <c r="J40" s="55"/>
      <c r="K40" s="96"/>
      <c r="L40" s="108"/>
      <c r="M40" s="108"/>
      <c r="N40" s="57"/>
      <c r="O40" s="57"/>
      <c r="P40" s="59"/>
    </row>
    <row r="41" spans="2:18" s="10" customFormat="1" ht="15.6" customHeight="1">
      <c r="B41" s="47"/>
      <c r="C41" s="54"/>
      <c r="D41" s="54"/>
      <c r="E41" s="54"/>
      <c r="F41" s="54"/>
      <c r="G41" s="54"/>
      <c r="H41" s="61"/>
      <c r="I41" s="52"/>
      <c r="J41" s="47"/>
      <c r="K41" s="54"/>
      <c r="L41" s="54"/>
      <c r="M41" s="54"/>
      <c r="N41" s="54"/>
      <c r="O41" s="54"/>
      <c r="P41" s="61"/>
    </row>
    <row r="42" spans="2:18" s="2" customFormat="1" ht="9.6" customHeight="1">
      <c r="B42" s="91"/>
      <c r="C42" s="117"/>
      <c r="D42" s="58"/>
      <c r="E42" s="57"/>
      <c r="F42" s="57"/>
      <c r="G42" s="57"/>
      <c r="H42" s="68"/>
      <c r="I42" s="52"/>
      <c r="J42" s="91"/>
      <c r="K42" s="58"/>
      <c r="L42" s="117"/>
      <c r="M42" s="117"/>
      <c r="N42" s="108"/>
      <c r="O42" s="58"/>
      <c r="P42" s="59"/>
    </row>
    <row r="43" spans="2:18" s="2" customFormat="1" ht="15.6" customHeight="1">
      <c r="B43" s="71"/>
      <c r="C43" s="50"/>
      <c r="D43" s="50"/>
      <c r="E43" s="50"/>
      <c r="F43" s="50"/>
      <c r="G43" s="50"/>
      <c r="H43" s="67"/>
      <c r="I43" s="76"/>
      <c r="J43" s="71"/>
      <c r="K43" s="50"/>
      <c r="L43" s="50"/>
      <c r="M43" s="50"/>
      <c r="N43" s="50"/>
      <c r="O43" s="50"/>
      <c r="P43" s="67"/>
    </row>
    <row r="44" spans="2:18" s="2" customFormat="1" ht="9.6" customHeight="1">
      <c r="B44" s="92"/>
      <c r="C44" s="118"/>
      <c r="D44" s="93"/>
      <c r="E44" s="77"/>
      <c r="F44" s="77"/>
      <c r="G44" s="77"/>
      <c r="H44" s="75"/>
      <c r="I44" s="76"/>
      <c r="J44" s="92"/>
      <c r="K44" s="93"/>
      <c r="L44" s="118"/>
      <c r="M44" s="118"/>
      <c r="N44" s="113"/>
      <c r="O44" s="93"/>
      <c r="P44" s="97"/>
    </row>
    <row r="45" spans="2:18" s="2" customFormat="1" ht="16.8" customHeight="1">
      <c r="B45" s="78">
        <f>31-H45</f>
        <v>31</v>
      </c>
      <c r="C45" s="79"/>
      <c r="D45" s="79"/>
      <c r="E45" s="80" t="s">
        <v>14</v>
      </c>
      <c r="F45" s="81"/>
      <c r="G45" s="82"/>
      <c r="H45" s="83"/>
      <c r="I45" s="84"/>
      <c r="J45" s="78">
        <f>31-P45</f>
        <v>31</v>
      </c>
      <c r="K45" s="124" t="s">
        <v>15</v>
      </c>
      <c r="L45" s="124"/>
      <c r="M45" s="124"/>
      <c r="N45" s="124"/>
      <c r="O45" s="124"/>
      <c r="P45" s="83"/>
    </row>
    <row r="46" spans="2:18" s="2" customFormat="1" ht="9" customHeight="1">
      <c r="B46" s="85" t="s">
        <v>3</v>
      </c>
      <c r="C46" s="86" t="s">
        <v>4</v>
      </c>
      <c r="D46" s="86" t="s">
        <v>5</v>
      </c>
      <c r="E46" s="86" t="s">
        <v>6</v>
      </c>
      <c r="F46" s="86" t="s">
        <v>7</v>
      </c>
      <c r="G46" s="86" t="s">
        <v>8</v>
      </c>
      <c r="H46" s="87" t="s">
        <v>9</v>
      </c>
      <c r="I46" s="52"/>
      <c r="J46" s="85" t="s">
        <v>3</v>
      </c>
      <c r="K46" s="86" t="s">
        <v>4</v>
      </c>
      <c r="L46" s="86" t="s">
        <v>5</v>
      </c>
      <c r="M46" s="86" t="s">
        <v>6</v>
      </c>
      <c r="N46" s="86" t="s">
        <v>7</v>
      </c>
      <c r="O46" s="86" t="s">
        <v>8</v>
      </c>
      <c r="P46" s="87" t="s">
        <v>9</v>
      </c>
    </row>
    <row r="47" spans="2:18" s="2" customFormat="1" ht="15.6" customHeight="1">
      <c r="B47" s="47"/>
      <c r="C47" s="48"/>
      <c r="D47" s="49"/>
      <c r="E47" s="50"/>
      <c r="F47" s="50"/>
      <c r="G47" s="89"/>
      <c r="H47" s="51"/>
      <c r="I47" s="52"/>
      <c r="J47" s="71"/>
      <c r="K47" s="50"/>
      <c r="L47" s="50"/>
      <c r="M47" s="50"/>
      <c r="N47" s="50"/>
      <c r="O47" s="54"/>
      <c r="P47" s="61"/>
    </row>
    <row r="48" spans="2:18" s="2" customFormat="1" ht="9.6" customHeight="1">
      <c r="B48" s="55"/>
      <c r="C48" s="56"/>
      <c r="D48" s="57"/>
      <c r="E48" s="56"/>
      <c r="F48" s="58"/>
      <c r="G48" s="108"/>
      <c r="H48" s="59"/>
      <c r="I48" s="52"/>
      <c r="J48" s="71"/>
      <c r="K48" s="58"/>
      <c r="L48" s="58"/>
      <c r="M48" s="58"/>
      <c r="N48" s="58"/>
      <c r="O48" s="109"/>
      <c r="P48" s="105"/>
    </row>
    <row r="49" spans="2:16" s="2" customFormat="1" ht="15.6" customHeight="1">
      <c r="B49" s="47"/>
      <c r="C49" s="63"/>
      <c r="D49" s="54"/>
      <c r="E49" s="54"/>
      <c r="F49" s="54"/>
      <c r="G49" s="54"/>
      <c r="H49" s="61"/>
      <c r="I49" s="52"/>
      <c r="J49" s="47"/>
      <c r="K49" s="62"/>
      <c r="L49" s="54"/>
      <c r="M49" s="54"/>
      <c r="N49" s="54"/>
      <c r="O49" s="54"/>
      <c r="P49" s="61"/>
    </row>
    <row r="50" spans="2:16" s="2" customFormat="1" ht="9.6" customHeight="1">
      <c r="B50" s="64"/>
      <c r="C50" s="109"/>
      <c r="D50" s="57"/>
      <c r="E50" s="58"/>
      <c r="F50" s="57"/>
      <c r="G50" s="57"/>
      <c r="H50" s="105"/>
      <c r="I50" s="52"/>
      <c r="J50" s="64"/>
      <c r="K50" s="58"/>
      <c r="L50" s="57"/>
      <c r="M50" s="57"/>
      <c r="N50" s="57"/>
      <c r="O50" s="57"/>
      <c r="P50" s="68"/>
    </row>
    <row r="51" spans="2:16" s="2" customFormat="1" ht="15.6" customHeight="1">
      <c r="B51" s="47"/>
      <c r="C51" s="62"/>
      <c r="D51" s="54"/>
      <c r="E51" s="54"/>
      <c r="F51" s="54"/>
      <c r="G51" s="54"/>
      <c r="H51" s="61"/>
      <c r="I51" s="52"/>
      <c r="J51" s="47"/>
      <c r="K51" s="62"/>
      <c r="L51" s="62"/>
      <c r="M51" s="54"/>
      <c r="N51" s="54"/>
      <c r="O51" s="54"/>
      <c r="P51" s="61"/>
    </row>
    <row r="52" spans="2:16" s="2" customFormat="1" ht="9.6" customHeight="1">
      <c r="B52" s="55"/>
      <c r="C52" s="114"/>
      <c r="D52" s="57"/>
      <c r="E52" s="58"/>
      <c r="F52" s="57"/>
      <c r="G52" s="57"/>
      <c r="H52" s="59"/>
      <c r="I52" s="52"/>
      <c r="J52" s="55"/>
      <c r="K52" s="109"/>
      <c r="L52" s="108"/>
      <c r="M52" s="114"/>
      <c r="N52" s="114"/>
      <c r="O52" s="114"/>
      <c r="P52" s="59"/>
    </row>
    <row r="53" spans="2:16" s="2" customFormat="1" ht="15.6" customHeight="1">
      <c r="B53" s="65"/>
      <c r="C53" s="54"/>
      <c r="D53" s="54"/>
      <c r="E53" s="54"/>
      <c r="F53" s="54"/>
      <c r="G53" s="54"/>
      <c r="H53" s="61"/>
      <c r="I53" s="52"/>
      <c r="J53" s="47"/>
      <c r="K53" s="54"/>
      <c r="L53" s="54"/>
      <c r="M53" s="54"/>
      <c r="N53" s="54"/>
      <c r="O53" s="54"/>
      <c r="P53" s="61"/>
    </row>
    <row r="54" spans="2:16" s="2" customFormat="1" ht="9.6" customHeight="1">
      <c r="B54" s="98"/>
      <c r="C54" s="108"/>
      <c r="D54" s="50"/>
      <c r="E54" s="58"/>
      <c r="F54" s="50"/>
      <c r="G54" s="58"/>
      <c r="H54" s="59"/>
      <c r="I54" s="52"/>
      <c r="J54" s="55"/>
      <c r="K54" s="57"/>
      <c r="L54" s="57"/>
      <c r="M54" s="57"/>
      <c r="N54" s="57"/>
      <c r="O54" s="57"/>
      <c r="P54" s="105"/>
    </row>
    <row r="55" spans="2:16" s="10" customFormat="1" ht="15.6" customHeight="1">
      <c r="B55" s="47"/>
      <c r="C55" s="63"/>
      <c r="D55" s="54"/>
      <c r="E55" s="62"/>
      <c r="F55" s="54"/>
      <c r="G55" s="62"/>
      <c r="H55" s="61"/>
      <c r="I55" s="52"/>
      <c r="J55" s="47"/>
      <c r="K55" s="54"/>
      <c r="L55" s="54"/>
      <c r="M55" s="54"/>
      <c r="N55" s="54"/>
      <c r="O55" s="54"/>
      <c r="P55" s="61"/>
    </row>
    <row r="56" spans="2:16" s="2" customFormat="1" ht="9.6" customHeight="1">
      <c r="B56" s="55"/>
      <c r="C56" s="69"/>
      <c r="D56" s="111"/>
      <c r="E56" s="117"/>
      <c r="F56" s="111"/>
      <c r="G56" s="108"/>
      <c r="H56" s="68"/>
      <c r="I56" s="52"/>
      <c r="J56" s="71"/>
      <c r="K56" s="50"/>
      <c r="L56" s="50"/>
      <c r="M56" s="50"/>
      <c r="N56" s="115"/>
      <c r="O56" s="115"/>
      <c r="P56" s="105"/>
    </row>
    <row r="57" spans="2:16" s="2" customFormat="1" ht="15.6" customHeight="1">
      <c r="B57" s="47"/>
      <c r="C57" s="54"/>
      <c r="D57" s="54"/>
      <c r="E57" s="54"/>
      <c r="F57" s="54"/>
      <c r="G57" s="54"/>
      <c r="H57" s="61"/>
      <c r="I57" s="52"/>
      <c r="J57" s="47"/>
      <c r="K57" s="54"/>
      <c r="L57" s="54"/>
      <c r="M57" s="54"/>
      <c r="N57" s="54"/>
      <c r="O57" s="54"/>
      <c r="P57" s="61"/>
    </row>
    <row r="58" spans="2:16" s="2" customFormat="1" ht="9.6" customHeight="1">
      <c r="B58" s="92"/>
      <c r="C58" s="93"/>
      <c r="D58" s="77"/>
      <c r="E58" s="77"/>
      <c r="F58" s="77"/>
      <c r="G58" s="77"/>
      <c r="H58" s="75"/>
      <c r="I58" s="52"/>
      <c r="J58" s="92"/>
      <c r="K58" s="93"/>
      <c r="L58" s="77"/>
      <c r="M58" s="77"/>
      <c r="N58" s="77"/>
      <c r="O58" s="77"/>
      <c r="P58" s="75"/>
    </row>
    <row r="59" spans="2:16" s="2" customFormat="1" ht="16.8" customHeight="1">
      <c r="B59" s="78">
        <f>31-H59</f>
        <v>31</v>
      </c>
      <c r="C59" s="79"/>
      <c r="D59" s="79"/>
      <c r="E59" s="80" t="s">
        <v>16</v>
      </c>
      <c r="F59" s="81"/>
      <c r="G59" s="82"/>
      <c r="H59" s="83"/>
      <c r="I59" s="84"/>
      <c r="J59" s="78">
        <f>28-P59</f>
        <v>28</v>
      </c>
      <c r="K59" s="79"/>
      <c r="L59" s="79"/>
      <c r="M59" s="80" t="s">
        <v>17</v>
      </c>
      <c r="N59" s="81"/>
      <c r="O59" s="82"/>
      <c r="P59" s="83"/>
    </row>
    <row r="60" spans="2:16" s="2" customFormat="1" ht="9" customHeight="1">
      <c r="B60" s="85" t="s">
        <v>3</v>
      </c>
      <c r="C60" s="86" t="s">
        <v>4</v>
      </c>
      <c r="D60" s="86" t="s">
        <v>5</v>
      </c>
      <c r="E60" s="86" t="s">
        <v>6</v>
      </c>
      <c r="F60" s="86" t="s">
        <v>7</v>
      </c>
      <c r="G60" s="86" t="s">
        <v>8</v>
      </c>
      <c r="H60" s="87" t="s">
        <v>9</v>
      </c>
      <c r="I60" s="52"/>
      <c r="J60" s="85" t="s">
        <v>3</v>
      </c>
      <c r="K60" s="86" t="s">
        <v>4</v>
      </c>
      <c r="L60" s="86" t="s">
        <v>5</v>
      </c>
      <c r="M60" s="86" t="s">
        <v>6</v>
      </c>
      <c r="N60" s="86" t="s">
        <v>7</v>
      </c>
      <c r="O60" s="86" t="s">
        <v>8</v>
      </c>
      <c r="P60" s="87" t="s">
        <v>9</v>
      </c>
    </row>
    <row r="61" spans="2:16" s="2" customFormat="1" ht="15.6" customHeight="1">
      <c r="B61" s="71"/>
      <c r="C61" s="49"/>
      <c r="D61" s="49"/>
      <c r="E61" s="49"/>
      <c r="F61" s="49"/>
      <c r="G61" s="50"/>
      <c r="H61" s="61"/>
      <c r="I61" s="52"/>
      <c r="J61" s="47"/>
      <c r="K61" s="48"/>
      <c r="L61" s="50"/>
      <c r="M61" s="54"/>
      <c r="N61" s="62"/>
      <c r="O61" s="62"/>
      <c r="P61" s="67"/>
    </row>
    <row r="62" spans="2:16" s="2" customFormat="1" ht="9.6" customHeight="1">
      <c r="B62" s="91"/>
      <c r="C62" s="58"/>
      <c r="D62" s="58"/>
      <c r="E62" s="58"/>
      <c r="F62" s="58"/>
      <c r="G62" s="108"/>
      <c r="H62" s="59"/>
      <c r="I62" s="52"/>
      <c r="J62" s="55"/>
      <c r="K62" s="56"/>
      <c r="L62" s="108"/>
      <c r="M62" s="114"/>
      <c r="N62" s="109"/>
      <c r="O62" s="108"/>
      <c r="P62" s="59"/>
    </row>
    <row r="63" spans="2:16" s="2" customFormat="1" ht="15.6" customHeight="1">
      <c r="B63" s="47"/>
      <c r="C63" s="89"/>
      <c r="D63" s="62"/>
      <c r="E63" s="54"/>
      <c r="F63" s="54"/>
      <c r="G63" s="54"/>
      <c r="H63" s="61"/>
      <c r="I63" s="52"/>
      <c r="J63" s="47"/>
      <c r="K63" s="54"/>
      <c r="L63" s="50"/>
      <c r="M63" s="54"/>
      <c r="N63" s="62"/>
      <c r="O63" s="54"/>
      <c r="P63" s="61"/>
    </row>
    <row r="64" spans="2:16" s="2" customFormat="1" ht="9.6" customHeight="1">
      <c r="B64" s="64"/>
      <c r="C64" s="108"/>
      <c r="D64" s="99"/>
      <c r="E64" s="57"/>
      <c r="F64" s="57"/>
      <c r="G64" s="58"/>
      <c r="H64" s="59"/>
      <c r="I64" s="52"/>
      <c r="J64" s="55"/>
      <c r="K64" s="58"/>
      <c r="L64" s="57"/>
      <c r="M64" s="57"/>
      <c r="N64" s="114"/>
      <c r="O64" s="111"/>
      <c r="P64" s="105"/>
    </row>
    <row r="65" spans="2:16" s="2" customFormat="1" ht="15.6" customHeight="1">
      <c r="B65" s="65"/>
      <c r="C65" s="54"/>
      <c r="D65" s="62"/>
      <c r="E65" s="62"/>
      <c r="F65" s="54"/>
      <c r="G65" s="54"/>
      <c r="H65" s="61"/>
      <c r="I65" s="52"/>
      <c r="J65" s="47"/>
      <c r="K65" s="54"/>
      <c r="L65" s="54"/>
      <c r="M65" s="54"/>
      <c r="N65" s="54"/>
      <c r="O65" s="54"/>
      <c r="P65" s="61"/>
    </row>
    <row r="66" spans="2:16" s="2" customFormat="1" ht="9.6" customHeight="1">
      <c r="B66" s="60"/>
      <c r="C66" s="57"/>
      <c r="D66" s="114"/>
      <c r="E66" s="117"/>
      <c r="F66" s="114"/>
      <c r="G66" s="114"/>
      <c r="H66" s="105"/>
      <c r="I66" s="52"/>
      <c r="J66" s="103"/>
      <c r="K66" s="108"/>
      <c r="L66" s="111"/>
      <c r="M66" s="57"/>
      <c r="N66" s="57"/>
      <c r="O66" s="57"/>
      <c r="P66" s="68"/>
    </row>
    <row r="67" spans="2:16" s="2" customFormat="1" ht="15.6" customHeight="1">
      <c r="B67" s="47"/>
      <c r="C67" s="54"/>
      <c r="D67" s="54"/>
      <c r="E67" s="54"/>
      <c r="F67" s="54"/>
      <c r="G67" s="54"/>
      <c r="H67" s="61"/>
      <c r="I67" s="52"/>
      <c r="J67" s="47"/>
      <c r="K67" s="63"/>
      <c r="L67" s="121"/>
      <c r="M67" s="54"/>
      <c r="N67" s="54"/>
      <c r="O67" s="54"/>
      <c r="P67" s="61"/>
    </row>
    <row r="68" spans="2:16" s="2" customFormat="1" ht="9.6" customHeight="1">
      <c r="B68" s="91"/>
      <c r="C68" s="57"/>
      <c r="D68" s="58"/>
      <c r="E68" s="58"/>
      <c r="F68" s="58"/>
      <c r="G68" s="58"/>
      <c r="H68" s="59"/>
      <c r="I68" s="52"/>
      <c r="J68" s="55"/>
      <c r="K68" s="108"/>
      <c r="L68" s="122"/>
      <c r="M68" s="58"/>
      <c r="N68" s="58"/>
      <c r="O68" s="57"/>
      <c r="P68" s="59"/>
    </row>
    <row r="69" spans="2:16" s="10" customFormat="1" ht="15.6" customHeight="1">
      <c r="B69" s="47"/>
      <c r="C69" s="54"/>
      <c r="D69" s="54"/>
      <c r="E69" s="54"/>
      <c r="F69" s="54"/>
      <c r="G69" s="54"/>
      <c r="H69" s="61"/>
      <c r="I69" s="52"/>
      <c r="J69" s="47"/>
      <c r="K69" s="54"/>
      <c r="L69" s="54"/>
      <c r="M69" s="54"/>
      <c r="N69" s="54"/>
      <c r="O69" s="54"/>
      <c r="P69" s="61"/>
    </row>
    <row r="70" spans="2:16" s="2" customFormat="1" ht="9.6" customHeight="1">
      <c r="B70" s="91"/>
      <c r="C70" s="58"/>
      <c r="D70" s="57"/>
      <c r="E70" s="57"/>
      <c r="F70" s="57"/>
      <c r="G70" s="57"/>
      <c r="H70" s="59"/>
      <c r="I70" s="52"/>
      <c r="J70" s="91"/>
      <c r="K70" s="117"/>
      <c r="L70" s="58"/>
      <c r="M70" s="57"/>
      <c r="N70" s="57"/>
      <c r="O70" s="57"/>
      <c r="P70" s="68"/>
    </row>
    <row r="71" spans="2:16" s="2" customFormat="1" ht="15.6" customHeight="1">
      <c r="B71" s="71"/>
      <c r="C71" s="62"/>
      <c r="D71" s="50"/>
      <c r="E71" s="50"/>
      <c r="F71" s="50"/>
      <c r="G71" s="50"/>
      <c r="H71" s="67"/>
      <c r="I71" s="52"/>
      <c r="J71" s="47"/>
      <c r="K71" s="54"/>
      <c r="L71" s="54"/>
      <c r="M71" s="54"/>
      <c r="N71" s="54"/>
      <c r="O71" s="54"/>
      <c r="P71" s="61"/>
    </row>
    <row r="72" spans="2:16" s="2" customFormat="1" ht="9.6" customHeight="1">
      <c r="B72" s="104"/>
      <c r="C72" s="113"/>
      <c r="D72" s="77"/>
      <c r="E72" s="77"/>
      <c r="F72" s="77"/>
      <c r="G72" s="77"/>
      <c r="H72" s="75"/>
      <c r="I72" s="52"/>
      <c r="J72" s="92"/>
      <c r="K72" s="112"/>
      <c r="L72" s="113"/>
      <c r="M72" s="77"/>
      <c r="N72" s="77"/>
      <c r="O72" s="77"/>
      <c r="P72" s="75"/>
    </row>
    <row r="73" spans="2:16" s="2" customFormat="1" ht="16.8" customHeight="1">
      <c r="B73" s="78">
        <f>30-H73</f>
        <v>30</v>
      </c>
      <c r="C73" s="100"/>
      <c r="D73" s="100"/>
      <c r="E73" s="80" t="s">
        <v>18</v>
      </c>
      <c r="F73" s="81"/>
      <c r="G73" s="82"/>
      <c r="H73" s="83"/>
      <c r="I73" s="84"/>
      <c r="J73" s="78">
        <f>31-P73</f>
        <v>31</v>
      </c>
      <c r="K73" s="79"/>
      <c r="L73" s="79"/>
      <c r="M73" s="80" t="s">
        <v>19</v>
      </c>
      <c r="N73" s="81"/>
      <c r="O73" s="82"/>
      <c r="P73" s="83"/>
    </row>
    <row r="74" spans="2:16" s="2" customFormat="1" ht="9" customHeight="1">
      <c r="B74" s="85" t="s">
        <v>3</v>
      </c>
      <c r="C74" s="86" t="s">
        <v>4</v>
      </c>
      <c r="D74" s="86" t="s">
        <v>5</v>
      </c>
      <c r="E74" s="86" t="s">
        <v>6</v>
      </c>
      <c r="F74" s="86" t="s">
        <v>7</v>
      </c>
      <c r="G74" s="86" t="s">
        <v>8</v>
      </c>
      <c r="H74" s="87" t="s">
        <v>9</v>
      </c>
      <c r="I74" s="52"/>
      <c r="J74" s="85" t="s">
        <v>3</v>
      </c>
      <c r="K74" s="86" t="s">
        <v>4</v>
      </c>
      <c r="L74" s="86" t="s">
        <v>5</v>
      </c>
      <c r="M74" s="86" t="s">
        <v>6</v>
      </c>
      <c r="N74" s="86" t="s">
        <v>7</v>
      </c>
      <c r="O74" s="86" t="s">
        <v>8</v>
      </c>
      <c r="P74" s="87" t="s">
        <v>9</v>
      </c>
    </row>
    <row r="75" spans="2:16" s="2" customFormat="1" ht="15.6" customHeight="1">
      <c r="B75" s="71"/>
      <c r="C75" s="49"/>
      <c r="D75" s="49"/>
      <c r="E75" s="49"/>
      <c r="F75" s="89"/>
      <c r="G75" s="49"/>
      <c r="H75" s="51"/>
      <c r="I75" s="52"/>
      <c r="J75" s="47"/>
      <c r="K75" s="48"/>
      <c r="L75" s="50"/>
      <c r="M75" s="54"/>
      <c r="N75" s="62"/>
      <c r="O75" s="62"/>
      <c r="P75" s="67"/>
    </row>
    <row r="76" spans="2:16" s="2" customFormat="1" ht="9.6" customHeight="1">
      <c r="B76" s="55"/>
      <c r="C76" s="56"/>
      <c r="D76" s="56"/>
      <c r="E76" s="58"/>
      <c r="F76" s="108"/>
      <c r="G76" s="58"/>
      <c r="H76" s="59"/>
      <c r="I76" s="52"/>
      <c r="J76" s="55"/>
      <c r="K76" s="56"/>
      <c r="L76" s="108"/>
      <c r="M76" s="114"/>
      <c r="N76" s="109"/>
      <c r="O76" s="108"/>
      <c r="P76" s="59"/>
    </row>
    <row r="77" spans="2:16" s="2" customFormat="1" ht="15.6" customHeight="1">
      <c r="B77" s="47"/>
      <c r="C77" s="54"/>
      <c r="D77" s="54"/>
      <c r="E77" s="63"/>
      <c r="F77" s="50"/>
      <c r="G77" s="62"/>
      <c r="H77" s="61"/>
      <c r="I77" s="52"/>
      <c r="J77" s="47"/>
      <c r="K77" s="54"/>
      <c r="L77" s="89"/>
      <c r="M77" s="54"/>
      <c r="N77" s="62"/>
      <c r="O77" s="54"/>
      <c r="P77" s="61"/>
    </row>
    <row r="78" spans="2:16" s="2" customFormat="1" ht="9.6" customHeight="1">
      <c r="B78" s="55"/>
      <c r="C78" s="90"/>
      <c r="D78" s="58"/>
      <c r="E78" s="56"/>
      <c r="F78" s="50"/>
      <c r="G78" s="108"/>
      <c r="H78" s="68"/>
      <c r="I78" s="52"/>
      <c r="J78" s="55"/>
      <c r="K78" s="58"/>
      <c r="L78" s="99"/>
      <c r="M78" s="57"/>
      <c r="N78" s="114"/>
      <c r="O78" s="111"/>
      <c r="P78" s="105"/>
    </row>
    <row r="79" spans="2:16" s="2" customFormat="1" ht="15.6" customHeight="1">
      <c r="B79" s="47"/>
      <c r="C79" s="54"/>
      <c r="D79" s="54"/>
      <c r="E79" s="54"/>
      <c r="F79" s="62"/>
      <c r="G79" s="54"/>
      <c r="H79" s="61"/>
      <c r="I79" s="52"/>
      <c r="J79" s="47"/>
      <c r="K79" s="54"/>
      <c r="L79" s="62"/>
      <c r="M79" s="54"/>
      <c r="N79" s="54"/>
      <c r="O79" s="54"/>
      <c r="P79" s="61"/>
    </row>
    <row r="80" spans="2:16" s="2" customFormat="1" ht="9.6" customHeight="1">
      <c r="B80" s="64"/>
      <c r="C80" s="110"/>
      <c r="D80" s="116"/>
      <c r="E80" s="111"/>
      <c r="F80" s="57"/>
      <c r="G80" s="57"/>
      <c r="H80" s="59"/>
      <c r="I80" s="52"/>
      <c r="J80" s="103"/>
      <c r="K80" s="108"/>
      <c r="L80" s="119"/>
      <c r="M80" s="57"/>
      <c r="N80" s="57"/>
      <c r="O80" s="57"/>
      <c r="P80" s="68"/>
    </row>
    <row r="81" spans="2:16" s="10" customFormat="1" ht="15.6" customHeight="1">
      <c r="B81" s="47"/>
      <c r="C81" s="54"/>
      <c r="D81" s="54"/>
      <c r="E81" s="63"/>
      <c r="F81" s="54"/>
      <c r="G81" s="54"/>
      <c r="H81" s="61"/>
      <c r="I81" s="52"/>
      <c r="J81" s="47"/>
      <c r="K81" s="54"/>
      <c r="L81" s="121"/>
      <c r="M81" s="54"/>
      <c r="N81" s="54"/>
      <c r="O81" s="54"/>
      <c r="P81" s="61"/>
    </row>
    <row r="82" spans="2:16" ht="9.6" customHeight="1">
      <c r="B82" s="55"/>
      <c r="C82" s="108"/>
      <c r="D82" s="108"/>
      <c r="E82" s="108"/>
      <c r="F82" s="57"/>
      <c r="G82" s="57"/>
      <c r="H82" s="59"/>
      <c r="I82" s="52"/>
      <c r="J82" s="64"/>
      <c r="K82" s="108"/>
      <c r="L82" s="122"/>
      <c r="M82" s="58"/>
      <c r="N82" s="58"/>
      <c r="O82" s="57"/>
      <c r="P82" s="59"/>
    </row>
    <row r="83" spans="2:16" s="10" customFormat="1" ht="15.6" customHeight="1">
      <c r="B83" s="47"/>
      <c r="C83" s="54"/>
      <c r="D83" s="62"/>
      <c r="E83" s="54"/>
      <c r="F83" s="54"/>
      <c r="G83" s="54"/>
      <c r="H83" s="61"/>
      <c r="I83" s="52"/>
      <c r="J83" s="47"/>
      <c r="K83" s="54"/>
      <c r="L83" s="62"/>
      <c r="M83" s="54"/>
      <c r="N83" s="54"/>
      <c r="O83" s="54"/>
      <c r="P83" s="61"/>
    </row>
    <row r="84" spans="2:16" ht="9.6" customHeight="1">
      <c r="B84" s="91"/>
      <c r="C84" s="58"/>
      <c r="D84" s="117"/>
      <c r="E84" s="58"/>
      <c r="F84" s="58"/>
      <c r="G84" s="58"/>
      <c r="H84" s="59"/>
      <c r="I84" s="52"/>
      <c r="J84" s="91"/>
      <c r="K84" s="117"/>
      <c r="L84" s="101"/>
      <c r="M84" s="57"/>
      <c r="N84" s="57"/>
      <c r="O84" s="57"/>
      <c r="P84" s="68"/>
    </row>
    <row r="85" spans="2:16" ht="16.2" customHeight="1">
      <c r="B85" s="71"/>
      <c r="C85" s="50"/>
      <c r="D85" s="89"/>
      <c r="E85" s="50"/>
      <c r="F85" s="50"/>
      <c r="G85" s="50"/>
      <c r="H85" s="67"/>
      <c r="I85" s="102"/>
      <c r="J85" s="71"/>
      <c r="K85" s="50"/>
      <c r="L85" s="89"/>
      <c r="M85" s="50"/>
      <c r="N85" s="50"/>
      <c r="O85" s="50"/>
      <c r="P85" s="67"/>
    </row>
    <row r="86" spans="2:16" ht="9.6" customHeight="1">
      <c r="B86" s="92"/>
      <c r="C86" s="93"/>
      <c r="D86" s="118"/>
      <c r="E86" s="93"/>
      <c r="F86" s="93"/>
      <c r="G86" s="93"/>
      <c r="H86" s="97"/>
      <c r="I86" s="102"/>
      <c r="J86" s="92"/>
      <c r="K86" s="118"/>
      <c r="L86" s="94"/>
      <c r="M86" s="77"/>
      <c r="N86" s="77"/>
      <c r="O86" s="77"/>
      <c r="P86" s="75"/>
    </row>
    <row r="87" spans="2:16">
      <c r="B87" s="24" t="s">
        <v>20</v>
      </c>
      <c r="C87" s="25"/>
      <c r="D87" s="18">
        <f>B3+B17+B31+B45+B59+B73</f>
        <v>183</v>
      </c>
      <c r="E87" s="19"/>
      <c r="F87" s="24" t="s">
        <v>21</v>
      </c>
      <c r="G87" s="25"/>
      <c r="H87" s="18">
        <f>H3+H17+H31+H45+H59+H73</f>
        <v>0</v>
      </c>
      <c r="J87" s="9" t="s">
        <v>22</v>
      </c>
      <c r="L87" s="21">
        <f>J3+J17+J31+J45+J59+J73</f>
        <v>182</v>
      </c>
      <c r="N87" s="26" t="s">
        <v>23</v>
      </c>
      <c r="O87" s="27"/>
      <c r="P87" s="21">
        <f>P3+P17+P31+P45+P59+P73</f>
        <v>0</v>
      </c>
    </row>
    <row r="88" spans="2:16">
      <c r="B88" s="9" t="s">
        <v>24</v>
      </c>
      <c r="C88" s="1"/>
      <c r="D88" s="1"/>
      <c r="E88" s="1"/>
      <c r="F88" s="1"/>
      <c r="G88" s="1"/>
      <c r="H88" s="1"/>
      <c r="I88" s="1"/>
      <c r="J88" s="43" t="s">
        <v>25</v>
      </c>
      <c r="K88" s="43"/>
      <c r="L88" s="20">
        <f>D87+L87</f>
        <v>365</v>
      </c>
      <c r="M88" s="1"/>
      <c r="N88" s="43" t="s">
        <v>26</v>
      </c>
      <c r="O88" s="43"/>
      <c r="P88" s="20">
        <f>H87+P87</f>
        <v>0</v>
      </c>
    </row>
    <row r="89" spans="2:16">
      <c r="B89" s="9" t="str">
        <f>"※365日－" &amp; P88 &amp;"日＝" &amp; 365-P88 &amp;"日　" &amp; 365-P88 &amp; "日✕8時間÷365日✕7日＝" &amp; ROUND((365-P88)*8/365*7,7) &amp; "時間　60分✕" &amp; ROUND(MOD(ROUND((365-P88)*8/365*7,7),1),7) &amp; "＝" &amp; INT(60*MOD(ROUND((365-P88)*8/365*7,7),1)) &amp; "分　　" &amp; TRUNC(ROUND((365-P88)*8/365*7,7)) &amp; "時間" &amp; INT(60*MOD(ROUND((365-P88)*8/365*7,7),1)) &amp; "分（1週間あたり）"</f>
        <v>※365日－0日＝365日　365日✕8時間÷365日✕7日＝56時間　60分✕0＝0分　　56時間0分（1週間あたり）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</row>
    <row r="90" spans="2:16">
      <c r="B90" s="11" t="s">
        <v>27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9" t="s">
        <v>28</v>
      </c>
      <c r="O90" s="39"/>
      <c r="P90" s="39"/>
    </row>
    <row r="91" spans="2:16">
      <c r="B91" s="9" t="s">
        <v>29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2">
        <f>L88</f>
        <v>365</v>
      </c>
      <c r="O91" s="12">
        <v>12</v>
      </c>
      <c r="P91" s="13">
        <f>ROUNDDOWN(N91/O91,2)</f>
        <v>30.41</v>
      </c>
    </row>
    <row r="92" spans="2:16">
      <c r="B92" s="9" t="s">
        <v>30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2:16">
      <c r="B93" s="9" t="s">
        <v>31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</sheetData>
  <mergeCells count="9">
    <mergeCell ref="N90:P90"/>
    <mergeCell ref="N2:P2"/>
    <mergeCell ref="J88:K88"/>
    <mergeCell ref="N88:O88"/>
    <mergeCell ref="K45:O45"/>
    <mergeCell ref="C3:G3"/>
    <mergeCell ref="G1:K1"/>
    <mergeCell ref="B1:F1"/>
    <mergeCell ref="L1:P1"/>
  </mergeCells>
  <phoneticPr fontId="1"/>
  <pageMargins left="0.82677165354330717" right="0.19685039370078741" top="0.43307086614173229" bottom="0" header="0.11811023622047249" footer="0.11811023622047249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確定08年度109日</vt:lpstr>
      <vt:lpstr>確定08年度109日!Print_Area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soumu1</dc:creator>
  <cp:lastModifiedBy>石川 英利</cp:lastModifiedBy>
  <cp:lastPrinted>2026-07-30T01:15:58Z</cp:lastPrinted>
  <dcterms:created xsi:type="dcterms:W3CDTF">1997-01-08T22:48:59Z</dcterms:created>
  <dcterms:modified xsi:type="dcterms:W3CDTF">2026-07-30T03:02:04Z</dcterms:modified>
</cp:coreProperties>
</file>